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נק שע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₪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A707C"/>
    </font>
  </fonts>
  <fills count="5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F5F7FA"/>
      </patternFill>
    </fill>
    <fill>
      <patternFill patternType="solid">
        <fgColor rgb="00DCE7F5"/>
      </patternFill>
    </fill>
  </fills>
  <borders count="2">
    <border>
      <left/>
      <right/>
      <top/>
      <bottom/>
      <diagonal/>
    </border>
    <border>
      <left style="thin">
        <color rgb="009AA0AA"/>
      </left>
      <right style="thin">
        <color rgb="009AA0AA"/>
      </right>
      <top style="thin">
        <color rgb="009AA0AA"/>
      </top>
      <bottom style="thin">
        <color rgb="009AA0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9" customWidth="1" min="4" max="4"/>
    <col width="13" customWidth="1" min="5" max="5"/>
    <col width="14" customWidth="1" min="6" max="6"/>
    <col width="16" customWidth="1" min="7" max="7"/>
    <col width="13" customWidth="1" min="8" max="8"/>
    <col width="14" customWidth="1" min="9" max="9"/>
    <col width="12" customWidth="1" min="10" max="10"/>
  </cols>
  <sheetData>
    <row r="1">
      <c r="A1" s="1" t="inlineStr">
        <is>
          <t>בנק שעות לפי תפוקות · המשך פיתוח מערכת עולים לענן</t>
        </is>
      </c>
    </row>
    <row r="2">
      <c r="A2" s="2" t="inlineStr">
        <is>
          <t>שעות ליום עבודה</t>
        </is>
      </c>
      <c r="B2" s="3" t="n">
        <v>9</v>
      </c>
      <c r="C2" s="4" t="inlineStr">
        <is>
          <t>תאים לבנים לעריכה; תאים אפורים מחושבים</t>
        </is>
      </c>
    </row>
    <row r="4" ht="34" customHeight="1">
      <c r="A4" s="5" t="inlineStr">
        <is>
          <t>המשימה</t>
        </is>
      </c>
      <c r="B4" s="5" t="inlineStr">
        <is>
          <t>כמות בסיס</t>
        </is>
      </c>
      <c r="C4" s="5" t="inlineStr">
        <is>
          <t>כמות נוספת</t>
        </is>
      </c>
      <c r="D4" s="5" t="inlineStr">
        <is>
          <t>סה"כ</t>
        </is>
      </c>
      <c r="E4" s="5" t="inlineStr">
        <is>
          <t>מחיר יחידה</t>
        </is>
      </c>
      <c r="F4" s="5" t="inlineStr">
        <is>
          <t>מחיר כולל</t>
        </is>
      </c>
      <c r="G4" s="5" t="inlineStr">
        <is>
          <t>שעות כולל תמיכה ובדיקות</t>
        </is>
      </c>
      <c r="H4" s="5" t="inlineStr">
        <is>
          <t>ימים ליחידה (SLA)</t>
        </is>
      </c>
      <c r="I4" s="5" t="inlineStr">
        <is>
          <t>ימים כולל (כמות × ימים)</t>
        </is>
      </c>
      <c r="J4" s="5" t="inlineStr">
        <is>
          <t>שעות ליחידה</t>
        </is>
      </c>
    </row>
    <row r="5">
      <c r="A5" s="3" t="inlineStr">
        <is>
          <t>היערכות והנחיות לתשתית עבודה מבוססת Agentic AI</t>
        </is>
      </c>
      <c r="B5" s="6" t="n">
        <v>0</v>
      </c>
      <c r="C5" s="6" t="n">
        <v>1</v>
      </c>
      <c r="D5" s="7">
        <f>B5+C5</f>
        <v/>
      </c>
      <c r="E5" s="8" t="n"/>
      <c r="F5" s="9">
        <f>IF(E5="","",D5*E5)</f>
        <v/>
      </c>
      <c r="G5" s="10">
        <f>D5*J5</f>
        <v/>
      </c>
      <c r="H5" s="6" t="n">
        <v>10</v>
      </c>
      <c r="I5" s="7">
        <f>D5*H5</f>
        <v/>
      </c>
      <c r="J5" s="7">
        <f>H5*$B$2</f>
        <v/>
      </c>
    </row>
    <row r="6">
      <c r="A6" s="3" t="inlineStr">
        <is>
          <t>תכנון ויישום עסקי ופונקציונאלי</t>
        </is>
      </c>
      <c r="B6" s="6" t="n">
        <v>3</v>
      </c>
      <c r="C6" s="6" t="n">
        <v>3</v>
      </c>
      <c r="D6" s="7">
        <f>B6+C6</f>
        <v/>
      </c>
      <c r="E6" s="8" t="n"/>
      <c r="F6" s="9">
        <f>IF(E6="","",D6*E6)</f>
        <v/>
      </c>
      <c r="G6" s="10">
        <f>D6*J6</f>
        <v/>
      </c>
      <c r="H6" s="6" t="n">
        <v>7</v>
      </c>
      <c r="I6" s="7">
        <f>D6*H6</f>
        <v/>
      </c>
      <c r="J6" s="7">
        <f>H6*$B$2</f>
        <v/>
      </c>
    </row>
    <row r="7">
      <c r="A7" s="3" t="inlineStr">
        <is>
          <t>תכנון ויישום טכנולוגי ועיצוב</t>
        </is>
      </c>
      <c r="B7" s="6" t="n">
        <v>5</v>
      </c>
      <c r="C7" s="6" t="n">
        <v>5</v>
      </c>
      <c r="D7" s="7">
        <f>B7+C7</f>
        <v/>
      </c>
      <c r="E7" s="8" t="n"/>
      <c r="F7" s="9">
        <f>IF(E7="","",D7*E7)</f>
        <v/>
      </c>
      <c r="G7" s="10">
        <f>D7*J7</f>
        <v/>
      </c>
      <c r="H7" s="6" t="n">
        <v>7</v>
      </c>
      <c r="I7" s="7">
        <f>D7*H7</f>
        <v/>
      </c>
      <c r="J7" s="7">
        <f>H7*$B$2</f>
        <v/>
      </c>
    </row>
    <row r="8">
      <c r="A8" s="3" t="inlineStr">
        <is>
          <t>פיתוח תהליך חדש פשוט</t>
        </is>
      </c>
      <c r="B8" s="6" t="n">
        <v>10</v>
      </c>
      <c r="C8" s="6" t="n">
        <v>10</v>
      </c>
      <c r="D8" s="7">
        <f>B8+C8</f>
        <v/>
      </c>
      <c r="E8" s="8" t="n"/>
      <c r="F8" s="9">
        <f>IF(E8="","",D8*E8)</f>
        <v/>
      </c>
      <c r="G8" s="10">
        <f>D8*J8</f>
        <v/>
      </c>
      <c r="H8" s="6" t="n">
        <v>5</v>
      </c>
      <c r="I8" s="7">
        <f>D8*H8</f>
        <v/>
      </c>
      <c r="J8" s="7">
        <f>H8*$B$2</f>
        <v/>
      </c>
    </row>
    <row r="9">
      <c r="A9" s="3" t="inlineStr">
        <is>
          <t>פיתוח תהליך חדש בינוני</t>
        </is>
      </c>
      <c r="B9" s="6" t="n">
        <v>2</v>
      </c>
      <c r="C9" s="6" t="n">
        <v>5</v>
      </c>
      <c r="D9" s="7">
        <f>B9+C9</f>
        <v/>
      </c>
      <c r="E9" s="8" t="n"/>
      <c r="F9" s="9">
        <f>IF(E9="","",D9*E9)</f>
        <v/>
      </c>
      <c r="G9" s="10">
        <f>D9*J9</f>
        <v/>
      </c>
      <c r="H9" s="6" t="n">
        <v>10</v>
      </c>
      <c r="I9" s="7">
        <f>D9*H9</f>
        <v/>
      </c>
      <c r="J9" s="7">
        <f>H9*$B$2</f>
        <v/>
      </c>
    </row>
    <row r="10">
      <c r="A10" s="3" t="inlineStr">
        <is>
          <t>פיתוח תהליך חדש מורכב</t>
        </is>
      </c>
      <c r="B10" s="6" t="n">
        <v>2</v>
      </c>
      <c r="C10" s="6" t="n">
        <v>3</v>
      </c>
      <c r="D10" s="7">
        <f>B10+C10</f>
        <v/>
      </c>
      <c r="E10" s="8" t="n"/>
      <c r="F10" s="9">
        <f>IF(E10="","",D10*E10)</f>
        <v/>
      </c>
      <c r="G10" s="10">
        <f>D10*J10</f>
        <v/>
      </c>
      <c r="H10" s="6" t="n">
        <v>19</v>
      </c>
      <c r="I10" s="7">
        <f>D10*H10</f>
        <v/>
      </c>
      <c r="J10" s="7">
        <f>H10*$B$2</f>
        <v/>
      </c>
    </row>
    <row r="11">
      <c r="A11" s="3" t="inlineStr">
        <is>
          <t>שו"ש תשתיתי פשוט</t>
        </is>
      </c>
      <c r="B11" s="6" t="n">
        <v>5</v>
      </c>
      <c r="C11" s="6" t="n">
        <v>6</v>
      </c>
      <c r="D11" s="7">
        <f>B11+C11</f>
        <v/>
      </c>
      <c r="E11" s="8" t="n"/>
      <c r="F11" s="9">
        <f>IF(E11="","",D11*E11)</f>
        <v/>
      </c>
      <c r="G11" s="10">
        <f>D11*J11</f>
        <v/>
      </c>
      <c r="H11" s="6" t="n">
        <v>2</v>
      </c>
      <c r="I11" s="7">
        <f>D11*H11</f>
        <v/>
      </c>
      <c r="J11" s="7">
        <f>H11*$B$2</f>
        <v/>
      </c>
    </row>
    <row r="12">
      <c r="A12" s="3" t="inlineStr">
        <is>
          <t>שו"ש תשתיתי בינוני</t>
        </is>
      </c>
      <c r="B12" s="6" t="n">
        <v>3</v>
      </c>
      <c r="C12" s="6" t="n">
        <v>6</v>
      </c>
      <c r="D12" s="7">
        <f>B12+C12</f>
        <v/>
      </c>
      <c r="E12" s="8" t="n"/>
      <c r="F12" s="9">
        <f>IF(E12="","",D12*E12)</f>
        <v/>
      </c>
      <c r="G12" s="10">
        <f>D12*J12</f>
        <v/>
      </c>
      <c r="H12" s="6" t="n">
        <v>5</v>
      </c>
      <c r="I12" s="7">
        <f>D12*H12</f>
        <v/>
      </c>
      <c r="J12" s="7">
        <f>H12*$B$2</f>
        <v/>
      </c>
    </row>
    <row r="13">
      <c r="A13" s="3" t="inlineStr">
        <is>
          <t>שו"ש תשתיתי מורכב</t>
        </is>
      </c>
      <c r="B13" s="6" t="n">
        <v>0</v>
      </c>
      <c r="C13" s="6" t="n">
        <v>4</v>
      </c>
      <c r="D13" s="7">
        <f>B13+C13</f>
        <v/>
      </c>
      <c r="E13" s="8" t="n"/>
      <c r="F13" s="9">
        <f>IF(E13="","",D13*E13)</f>
        <v/>
      </c>
      <c r="G13" s="10">
        <f>D13*J13</f>
        <v/>
      </c>
      <c r="H13" s="6" t="n">
        <v>8</v>
      </c>
      <c r="I13" s="7">
        <f>D13*H13</f>
        <v/>
      </c>
      <c r="J13" s="7">
        <f>H13*$B$2</f>
        <v/>
      </c>
    </row>
    <row r="14">
      <c r="A14" s="3" t="inlineStr">
        <is>
          <t>שו"ש אפליקטיבי פשוט</t>
        </is>
      </c>
      <c r="B14" s="6" t="n">
        <v>22</v>
      </c>
      <c r="C14" s="6" t="n">
        <v>24</v>
      </c>
      <c r="D14" s="7">
        <f>B14+C14</f>
        <v/>
      </c>
      <c r="E14" s="8" t="n"/>
      <c r="F14" s="9">
        <f>IF(E14="","",D14*E14)</f>
        <v/>
      </c>
      <c r="G14" s="10">
        <f>D14*J14</f>
        <v/>
      </c>
      <c r="H14" s="6" t="n">
        <v>1</v>
      </c>
      <c r="I14" s="7">
        <f>D14*H14</f>
        <v/>
      </c>
      <c r="J14" s="7">
        <f>H14*$B$2</f>
        <v/>
      </c>
    </row>
    <row r="15">
      <c r="A15" s="3" t="inlineStr">
        <is>
          <t>שו"ש אפליקטיבי בינוני</t>
        </is>
      </c>
      <c r="B15" s="6" t="n">
        <v>7</v>
      </c>
      <c r="C15" s="6" t="n">
        <v>6</v>
      </c>
      <c r="D15" s="7">
        <f>B15+C15</f>
        <v/>
      </c>
      <c r="E15" s="8" t="n"/>
      <c r="F15" s="9">
        <f>IF(E15="","",D15*E15)</f>
        <v/>
      </c>
      <c r="G15" s="10">
        <f>D15*J15</f>
        <v/>
      </c>
      <c r="H15" s="6" t="n">
        <v>2</v>
      </c>
      <c r="I15" s="7">
        <f>D15*H15</f>
        <v/>
      </c>
      <c r="J15" s="7">
        <f>H15*$B$2</f>
        <v/>
      </c>
    </row>
    <row r="16">
      <c r="A16" s="3" t="inlineStr">
        <is>
          <t>שו"ש אפליקטיבי מורכב</t>
        </is>
      </c>
      <c r="B16" s="6" t="n">
        <v>5</v>
      </c>
      <c r="C16" s="6" t="n">
        <v>11</v>
      </c>
      <c r="D16" s="7">
        <f>B16+C16</f>
        <v/>
      </c>
      <c r="E16" s="8" t="n"/>
      <c r="F16" s="9">
        <f>IF(E16="","",D16*E16)</f>
        <v/>
      </c>
      <c r="G16" s="10">
        <f>D16*J16</f>
        <v/>
      </c>
      <c r="H16" s="6" t="n">
        <v>3</v>
      </c>
      <c r="I16" s="7">
        <f>D16*H16</f>
        <v/>
      </c>
      <c r="J16" s="7">
        <f>H16*$B$2</f>
        <v/>
      </c>
    </row>
    <row r="17">
      <c r="A17" s="3" t="inlineStr">
        <is>
          <t>הקמת/שדרוג מערכת בענן כולל CI/CD וממשקים</t>
        </is>
      </c>
      <c r="B17" s="6" t="n">
        <v>0</v>
      </c>
      <c r="C17" s="6" t="n">
        <v>2</v>
      </c>
      <c r="D17" s="7">
        <f>B17+C17</f>
        <v/>
      </c>
      <c r="E17" s="8" t="n"/>
      <c r="F17" s="9">
        <f>IF(E17="","",D17*E17)</f>
        <v/>
      </c>
      <c r="G17" s="10">
        <f>D17*J17</f>
        <v/>
      </c>
      <c r="H17" s="6" t="n">
        <v>16</v>
      </c>
      <c r="I17" s="7">
        <f>D17*H17</f>
        <v/>
      </c>
      <c r="J17" s="7">
        <f>H17*$B$2</f>
        <v/>
      </c>
    </row>
    <row r="18">
      <c r="A18" s="3" t="inlineStr">
        <is>
          <t>העברת ידע והכשרת צוות הפרויקט</t>
        </is>
      </c>
      <c r="B18" s="6" t="n">
        <v>0</v>
      </c>
      <c r="C18" s="6" t="n">
        <v>1</v>
      </c>
      <c r="D18" s="7">
        <f>B18+C18</f>
        <v/>
      </c>
      <c r="E18" s="8" t="n"/>
      <c r="F18" s="9">
        <f>IF(E18="","",D18*E18)</f>
        <v/>
      </c>
      <c r="G18" s="10">
        <f>D18*J18</f>
        <v/>
      </c>
      <c r="H18" s="6" t="n">
        <v>3</v>
      </c>
      <c r="I18" s="7">
        <f>D18*H18</f>
        <v/>
      </c>
      <c r="J18" s="7">
        <f>H18*$B$2</f>
        <v/>
      </c>
    </row>
    <row r="19">
      <c r="A19" s="11" t="inlineStr">
        <is>
          <t>סה"כ</t>
        </is>
      </c>
      <c r="B19" s="12">
        <f>SUM(B5:B18)</f>
        <v/>
      </c>
      <c r="C19" s="12">
        <f>SUM(C5:C18)</f>
        <v/>
      </c>
      <c r="D19" s="12">
        <f>SUM(D5:D18)</f>
        <v/>
      </c>
      <c r="E19" s="12" t="n"/>
      <c r="F19" s="13">
        <f>SUM(F5:F18)</f>
        <v/>
      </c>
      <c r="G19" s="14">
        <f>SUM(G5:G18)</f>
        <v/>
      </c>
      <c r="H19" s="12" t="n"/>
      <c r="I19" s="12">
        <f>SUM(I5:I18)</f>
        <v/>
      </c>
      <c r="J1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2026-10-20T07:05:02Z</dcterms:created>
  <dcterms:modified xmlns:dcterms="http://purl.org/dc/terms/" xmlns:xsi="http://www.w3.org/2001/XMLSchema-instance" xsi:type="dcterms:W3CDTF">2026-10-20T07:05:02Z</dcterms:modified>
</cp:coreProperties>
</file>